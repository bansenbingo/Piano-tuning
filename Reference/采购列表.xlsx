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eddyjiang/Documents/GitHub/Piano-tuning/Reference/"/>
    </mc:Choice>
  </mc:AlternateContent>
  <xr:revisionPtr revIDLastSave="0" documentId="13_ncr:1_{3345D528-A910-DA44-A7D7-7F8B0D8D4381}" xr6:coauthVersionLast="47" xr6:coauthVersionMax="47" xr10:uidLastSave="{00000000-0000-0000-0000-000000000000}"/>
  <bookViews>
    <workbookView xWindow="700" yWindow="660" windowWidth="28020" windowHeight="17300" xr2:uid="{AC3B7C6A-F7B4-4640-A7B4-FD8CF55866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2" i="1"/>
  <c r="H26" i="1" s="1"/>
</calcChain>
</file>

<file path=xl/sharedStrings.xml><?xml version="1.0" encoding="utf-8"?>
<sst xmlns="http://schemas.openxmlformats.org/spreadsheetml/2006/main" count="57" uniqueCount="54">
  <si>
    <t>名称</t>
    <phoneticPr fontId="1" type="noConversion"/>
  </si>
  <si>
    <t>链接</t>
    <phoneticPr fontId="1" type="noConversion"/>
  </si>
  <si>
    <t>价格</t>
    <phoneticPr fontId="1" type="noConversion"/>
  </si>
  <si>
    <t>用途</t>
    <phoneticPr fontId="1" type="noConversion"/>
  </si>
  <si>
    <t>Pmod转485协议控制导轨电机</t>
    <phoneticPr fontId="1" type="noConversion"/>
  </si>
  <si>
    <t>步进电机与配套模块（适配Arduino)</t>
    <phoneticPr fontId="1" type="noConversion"/>
  </si>
  <si>
    <t>https://detail.tmall.com/item.htm?ali_refid=a3_420434_1006%3A1109448581%3AN%3AVNgs10FlTdN4Z%2B4S7irb6U6FRRFGvEqT%3A75924f0f37ff10994ff35c16293a62d9&amp;ali_trackid=1_75924f0f37ff10994ff35c16293a62d9&amp;id=40663562450&amp;mi_id=0000zMPzwilQv-0F5Xh72enjjUIa-_Yc_UhuCvV2sLfBJJ4&amp;mm_sceneid=1_0_57814139_0&amp;skuId=3982367321851&amp;spm=a21n57.1.hoverItem.3&amp;utparam=%7B%22aplus_abtest%22%3A%22b70c9df19f29205878fb873c25335014%22%7D&amp;xxc=ad_ztc</t>
    <phoneticPr fontId="1" type="noConversion"/>
  </si>
  <si>
    <t>https://www.digikey.cn/zh/products/detail/digilent-inc/410-310/5125352?utm_source=oemsecrets&amp;utm_medium=aggregator&amp;utm_campaign=buynow</t>
    <phoneticPr fontId="1" type="noConversion"/>
  </si>
  <si>
    <t>控制小锤敲击琴键</t>
    <phoneticPr fontId="1" type="noConversion"/>
  </si>
  <si>
    <t>Arduino UNO R3</t>
    <phoneticPr fontId="1" type="noConversion"/>
  </si>
  <si>
    <t>https://item.taobao.com/item.htm?abbucket=9&amp;id=692143715120&amp;mi_id=0000OZimV2HJtAzs8LQG-jf-u_HarbPSE7SKph7T271Zlb8&amp;ns=1&amp;priceTId=2147835917863464393927218e120b&amp;skuId=4960209936015&amp;spm=a21n57.1.hoverItem.4&amp;utparam=%7B%22aplus_abtest%22%3A%22c58d755f9cf02b729bffbb63228cffbb%22%7D&amp;xxc=taobaoSearch</t>
  </si>
  <si>
    <t>控制步进电机和驱动模块</t>
    <phoneticPr fontId="1" type="noConversion"/>
  </si>
  <si>
    <t>Arduino原装开发板+数据线</t>
    <phoneticPr fontId="1" type="noConversion"/>
  </si>
  <si>
    <t>https://item.taobao.com/item.htm?ali_refid=a3_420434_1006%3A1346270186%3AH%3Av%2BPh3O6d5iXFmS6eztiX3w%3D%3D%3A4819e713a3b36ff5268709a2ccf6d349&amp;ali_trackid=318_4819e713a3b36ff5268709a2ccf6d349&amp;id=654831445313&amp;mi_id=0000k9YtzlSDAjWSEvmc7-RIzJioyBPM8cVrXalUNv0wqh8&amp;mm_sceneid=0_0_1346130087_0&amp;priceTId=2147800d17863467236782135e1167&amp;skuId=4725940784195&amp;spm=a21n57.1.hoverItem.5&amp;utparam=%7B%22aplus_abtest%22%3A%2295e2655f8330fee7b3d3d2950ca12f4c%22%7D&amp;xxc=ad_ztc</t>
  </si>
  <si>
    <t>敲击琴键（需要包裹一层橡胶）</t>
    <phoneticPr fontId="1" type="noConversion"/>
  </si>
  <si>
    <t>型号/厂商</t>
    <phoneticPr fontId="1" type="noConversion"/>
  </si>
  <si>
    <t>Diligent 410-310</t>
    <phoneticPr fontId="1" type="noConversion"/>
  </si>
  <si>
    <t>木质敲击锤</t>
    <phoneticPr fontId="1" type="noConversion"/>
  </si>
  <si>
    <t>淘宝厂家/A款小号</t>
    <phoneticPr fontId="1" type="noConversion"/>
  </si>
  <si>
    <t>步进电机移动数控直线导轨线性滑台模组</t>
  </si>
  <si>
    <t>规格</t>
    <phoneticPr fontId="1" type="noConversion"/>
  </si>
  <si>
    <t>/</t>
    <phoneticPr fontId="1" type="noConversion"/>
  </si>
  <si>
    <t>400mm</t>
    <phoneticPr fontId="1" type="noConversion"/>
  </si>
  <si>
    <t>28BYJ48+ULN2003</t>
    <phoneticPr fontId="1" type="noConversion"/>
  </si>
  <si>
    <t>4相5线，5V控制+12V电机</t>
    <phoneticPr fontId="1" type="noConversion"/>
  </si>
  <si>
    <t>https://item.taobao.com/item.htm?id=721216116658&amp;skuId=5023629761595</t>
    <phoneticPr fontId="1" type="noConversion"/>
  </si>
  <si>
    <t>允许模组在琴键上分移动</t>
    <phoneticPr fontId="1" type="noConversion"/>
  </si>
  <si>
    <t>Diligent 410-212</t>
    <phoneticPr fontId="1" type="noConversion"/>
  </si>
  <si>
    <t>https://www.digikey.cn/zh/products/detail/digilent-inc/410-212/4090089</t>
  </si>
  <si>
    <t>作为中继，实现A7和Arduino的双向通信</t>
    <phoneticPr fontId="1" type="noConversion"/>
  </si>
  <si>
    <t>PMODUSBUART USB TO UART MODULE</t>
  </si>
  <si>
    <t>DGTL ISO 2.5KV RS422/RS485 MOD</t>
  </si>
  <si>
    <t>https://item.taobao.com/item.htm?ali_refid=a3_420434_1006%3A1294760153%3AH%3A0G4RGCVX2Qc5RXj2317lDg%3D%3D%3A893d2efd5006073d809022f9d301c94e&amp;ali_trackid=318_893d2efd5006073d809022f9d301c94e&amp;id=1028827291051&amp;mi_id=0000gj8_VX9ppMOli_euf2XRWP1xLgldSu01MyqAJLJuY9A&amp;mm_sceneid=0_0_1027910095_0&amp;skuId=6042976241426&amp;spm=a21n57.1.hoverItem.2&amp;utparam=%7B%22aplus_abtest%22%3A%227d6bd1c128494b4857c48460ce8594f5%22%7D&amp;xxc=ad_ztc</t>
  </si>
  <si>
    <t>橡胶保护套</t>
    <phoneticPr fontId="1" type="noConversion"/>
  </si>
  <si>
    <t>套在锤头，保护琴键</t>
    <phoneticPr fontId="1" type="noConversion"/>
  </si>
  <si>
    <t>宇煌塑胶</t>
    <phoneticPr fontId="1" type="noConversion"/>
  </si>
  <si>
    <t>福誉科技</t>
    <phoneticPr fontId="1" type="noConversion"/>
  </si>
  <si>
    <t>锤头直径25, 锤长38, 柄长145，柄径8</t>
    <phoneticPr fontId="1" type="noConversion"/>
  </si>
  <si>
    <t>数量</t>
    <phoneticPr fontId="1" type="noConversion"/>
  </si>
  <si>
    <t>黑色Φ25.7，4只</t>
    <phoneticPr fontId="1" type="noConversion"/>
  </si>
  <si>
    <t>L298N</t>
  </si>
  <si>
    <t>供电驱动模块</t>
    <phoneticPr fontId="1" type="noConversion"/>
  </si>
  <si>
    <t>给Arduino和电机供电</t>
    <phoneticPr fontId="1" type="noConversion"/>
  </si>
  <si>
    <t>https://item.taobao.com/item.htm?abbucket=9&amp;id=522575960248&amp;mi_id=0000bIrwYZNzi9utLu_ppuiaM07RNT6plzeK2QfnohiGC9o&amp;ns=1&amp;spm=a21n57.1.hoverItem.6&amp;utparam=%7B%22aplus_abtest%22%3A%22338bb2dc8623d323e3348f2d1b6c66ac%22%7D&amp;xxc=taobaoSearch</t>
  </si>
  <si>
    <t>杜邦线</t>
    <phoneticPr fontId="1" type="noConversion"/>
  </si>
  <si>
    <t>Joland</t>
    <phoneticPr fontId="1" type="noConversion"/>
  </si>
  <si>
    <t>100mm,10色</t>
    <phoneticPr fontId="1" type="noConversion"/>
  </si>
  <si>
    <t>连接电路</t>
    <phoneticPr fontId="1" type="noConversion"/>
  </si>
  <si>
    <t>总价</t>
    <phoneticPr fontId="1" type="noConversion"/>
  </si>
  <si>
    <t>总计</t>
    <phoneticPr fontId="1" type="noConversion"/>
  </si>
  <si>
    <t>是否完成购买</t>
    <phoneticPr fontId="1" type="noConversion"/>
  </si>
  <si>
    <t>备注</t>
    <phoneticPr fontId="1" type="noConversion"/>
  </si>
  <si>
    <t>小额不给开，换了一家</t>
    <phoneticPr fontId="1" type="noConversion"/>
  </si>
  <si>
    <t>https://item.taobao.com/item.htm?ali_refid=a3_420434_1006%3A1110674771%3AN%3AMsF9mE9KLTC2IibWJh%2BK1A%3D%3D%3A237d3bc77c56bb38f1bf437abf5f1e8b&amp;ali_trackid=1_237d3bc77c56bb38f1bf437abf5f1e8b&amp;id=45236168829&amp;mi_id=0000ESeM1GonndN3S3X5_VjtkNfY91Z6VEHbs-wL0WGmnoU&amp;mm_sceneid=1_0_54142443_0&amp;skuId=5881575913049&amp;spm=a21n57.1.hoverItem.3&amp;utparam=%7B%22aplus_abtest%22%3A%2254d92b8ccbd52c87f4288bfd498e5ade%22%7D&amp;xxc=ad_z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</si>
</sst>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¥&quot;#,##0.00"/>
  </numFmts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2"/>
      <color theme="10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2" fillId="0" borderId="0" xfId="1">
      <alignment vertical="center"/>
    </xf>
    <xf numFmtId="0" fontId="0" fillId="0" borderId="0" xfId="0" applyNumberFormat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tem.taobao.com/item.htm?id=721216116658&amp;skuId=5023629761595" TargetMode="External"/><Relationship Id="rId2" Type="http://schemas.openxmlformats.org/officeDocument/2006/relationships/hyperlink" Target="https://www.digikey.cn/zh/products/detail/digilent-inc/410-310/5125352?utm_source=oemsecrets&amp;utm_medium=aggregator&amp;utm_campaign=buynow" TargetMode="External"/><Relationship Id="rId1" Type="http://schemas.openxmlformats.org/officeDocument/2006/relationships/hyperlink" Target="https://detail.tmall.com/item.htm?ali_refid=a3_420434_1006%3A1109448581%3AN%3AVNgs10FlTdN4Z%2B4S7irb6U6FRRFGvEqT%3A75924f0f37ff10994ff35c16293a62d9&amp;ali_trackid=1_75924f0f37ff10994ff35c16293a62d9&amp;id=40663562450&amp;mi_id=0000zMPzwilQv-0F5Xh72enjjUIa-_Yc_UhuCvV2sLfBJJ4&amp;mm_sceneid=1_0_57814139_0&amp;skuId=3982367321851&amp;spm=a21n57.1.hoverItem.3&amp;utparam=%7B%22aplus_abtest%22%3A%22b70c9df19f29205878fb873c25335014%22%7D&amp;xxc=ad_zt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E6A0E-5BE4-0B4E-921A-25C2124F5C0A}">
  <dimension ref="A1:J26"/>
  <sheetViews>
    <sheetView tabSelected="1" topLeftCell="C1" zoomScale="120" zoomScaleNormal="120" workbookViewId="0">
      <selection activeCell="I6" sqref="I6"/>
    </sheetView>
  </sheetViews>
  <sheetFormatPr baseColWidth="10" defaultRowHeight="16"/>
  <cols>
    <col min="1" max="1" width="21" customWidth="1"/>
    <col min="2" max="2" width="40.1640625" customWidth="1"/>
    <col min="3" max="3" width="35" customWidth="1"/>
    <col min="4" max="4" width="17" customWidth="1"/>
    <col min="5" max="5" width="12.6640625" style="1" customWidth="1"/>
    <col min="6" max="6" width="36.1640625" customWidth="1"/>
    <col min="9" max="9" width="13" customWidth="1"/>
  </cols>
  <sheetData>
    <row r="1" spans="1:10">
      <c r="A1" t="s">
        <v>15</v>
      </c>
      <c r="B1" t="s">
        <v>0</v>
      </c>
      <c r="C1" t="s">
        <v>20</v>
      </c>
      <c r="D1" t="s">
        <v>38</v>
      </c>
      <c r="E1" s="1" t="s">
        <v>2</v>
      </c>
      <c r="F1" t="s">
        <v>3</v>
      </c>
      <c r="G1" t="s">
        <v>1</v>
      </c>
      <c r="H1" t="s">
        <v>48</v>
      </c>
      <c r="I1" t="s">
        <v>50</v>
      </c>
      <c r="J1" t="s">
        <v>51</v>
      </c>
    </row>
    <row r="2" spans="1:10">
      <c r="A2" t="s">
        <v>16</v>
      </c>
      <c r="B2" t="s">
        <v>31</v>
      </c>
      <c r="C2" t="s">
        <v>21</v>
      </c>
      <c r="D2">
        <v>1</v>
      </c>
      <c r="E2" s="1">
        <v>344.18</v>
      </c>
      <c r="F2" t="s">
        <v>4</v>
      </c>
      <c r="G2" s="2" t="s">
        <v>7</v>
      </c>
      <c r="H2" s="1">
        <f>D2*E2</f>
        <v>344.18</v>
      </c>
      <c r="I2" s="3">
        <v>1</v>
      </c>
    </row>
    <row r="3" spans="1:10">
      <c r="A3" t="s">
        <v>23</v>
      </c>
      <c r="B3" t="s">
        <v>5</v>
      </c>
      <c r="C3" t="s">
        <v>24</v>
      </c>
      <c r="D3">
        <v>1</v>
      </c>
      <c r="E3" s="1">
        <v>8.94</v>
      </c>
      <c r="F3" t="s">
        <v>8</v>
      </c>
      <c r="G3" s="2" t="s">
        <v>6</v>
      </c>
      <c r="H3" s="1">
        <f t="shared" ref="H3:H10" si="0">D3*E3</f>
        <v>8.94</v>
      </c>
      <c r="I3" s="3">
        <v>1</v>
      </c>
    </row>
    <row r="4" spans="1:10">
      <c r="A4" t="s">
        <v>9</v>
      </c>
      <c r="B4" t="s">
        <v>12</v>
      </c>
      <c r="C4" t="s">
        <v>21</v>
      </c>
      <c r="D4">
        <v>1</v>
      </c>
      <c r="E4" s="1">
        <v>91</v>
      </c>
      <c r="F4" t="s">
        <v>11</v>
      </c>
      <c r="G4" t="s">
        <v>10</v>
      </c>
      <c r="H4" s="1">
        <f t="shared" si="0"/>
        <v>91</v>
      </c>
      <c r="I4" s="3">
        <v>1</v>
      </c>
    </row>
    <row r="5" spans="1:10">
      <c r="A5" t="s">
        <v>18</v>
      </c>
      <c r="B5" t="s">
        <v>17</v>
      </c>
      <c r="C5" t="s">
        <v>37</v>
      </c>
      <c r="D5">
        <v>1</v>
      </c>
      <c r="E5" s="1">
        <v>3.9</v>
      </c>
      <c r="F5" t="s">
        <v>14</v>
      </c>
      <c r="G5" t="s">
        <v>13</v>
      </c>
      <c r="H5" s="1">
        <f t="shared" si="0"/>
        <v>3.9</v>
      </c>
      <c r="I5" s="3">
        <v>1</v>
      </c>
    </row>
    <row r="6" spans="1:10">
      <c r="A6" t="s">
        <v>36</v>
      </c>
      <c r="B6" t="s">
        <v>19</v>
      </c>
      <c r="C6" t="s">
        <v>22</v>
      </c>
      <c r="D6">
        <v>1</v>
      </c>
      <c r="E6" s="1">
        <v>426</v>
      </c>
      <c r="F6" t="s">
        <v>26</v>
      </c>
      <c r="G6" s="2" t="s">
        <v>25</v>
      </c>
      <c r="H6" s="1">
        <f t="shared" si="0"/>
        <v>426</v>
      </c>
      <c r="I6" s="3">
        <v>1</v>
      </c>
    </row>
    <row r="7" spans="1:10">
      <c r="A7" t="s">
        <v>27</v>
      </c>
      <c r="B7" t="s">
        <v>30</v>
      </c>
      <c r="C7" t="s">
        <v>21</v>
      </c>
      <c r="D7">
        <v>1</v>
      </c>
      <c r="E7" s="1">
        <v>148.85</v>
      </c>
      <c r="F7" t="s">
        <v>29</v>
      </c>
      <c r="G7" t="s">
        <v>28</v>
      </c>
      <c r="H7" s="1">
        <f t="shared" si="0"/>
        <v>148.85</v>
      </c>
      <c r="I7" s="3">
        <v>1</v>
      </c>
    </row>
    <row r="8" spans="1:10">
      <c r="A8" t="s">
        <v>35</v>
      </c>
      <c r="B8" t="s">
        <v>33</v>
      </c>
      <c r="C8" t="s">
        <v>39</v>
      </c>
      <c r="D8">
        <v>1</v>
      </c>
      <c r="E8" s="1">
        <v>4.0999999999999996</v>
      </c>
      <c r="F8" t="s">
        <v>34</v>
      </c>
      <c r="G8" t="s">
        <v>32</v>
      </c>
      <c r="H8" s="1">
        <f t="shared" si="0"/>
        <v>4.0999999999999996</v>
      </c>
      <c r="I8" s="3">
        <v>1</v>
      </c>
    </row>
    <row r="9" spans="1:10">
      <c r="A9" t="s">
        <v>40</v>
      </c>
      <c r="B9" t="s">
        <v>41</v>
      </c>
      <c r="C9" t="s">
        <v>21</v>
      </c>
      <c r="D9">
        <v>1</v>
      </c>
      <c r="E9" s="1">
        <v>7.3</v>
      </c>
      <c r="F9" t="s">
        <v>42</v>
      </c>
      <c r="G9" t="s">
        <v>43</v>
      </c>
      <c r="H9" s="1">
        <f t="shared" si="0"/>
        <v>7.3</v>
      </c>
      <c r="I9" s="3">
        <v>1</v>
      </c>
    </row>
    <row r="10" spans="1:10">
      <c r="A10" t="s">
        <v>45</v>
      </c>
      <c r="B10" t="s">
        <v>44</v>
      </c>
      <c r="C10" t="s">
        <v>46</v>
      </c>
      <c r="D10">
        <v>3</v>
      </c>
      <c r="E10" s="1">
        <v>1.64</v>
      </c>
      <c r="F10" t="s">
        <v>47</v>
      </c>
      <c r="G10" t="s">
        <v>53</v>
      </c>
      <c r="H10" s="1">
        <v>8.42</v>
      </c>
      <c r="I10" s="3">
        <v>1</v>
      </c>
      <c r="J10" t="s">
        <v>52</v>
      </c>
    </row>
    <row r="11" spans="1:10">
      <c r="H11" s="1"/>
    </row>
    <row r="12" spans="1:10">
      <c r="H12" s="1"/>
    </row>
    <row r="13" spans="1:10">
      <c r="H13" s="1"/>
    </row>
    <row r="14" spans="1:10">
      <c r="H14" s="1"/>
    </row>
    <row r="15" spans="1:10">
      <c r="H15" s="1"/>
    </row>
    <row r="16" spans="1:10">
      <c r="H16" s="1"/>
    </row>
    <row r="17" spans="7:8">
      <c r="H17" s="1"/>
    </row>
    <row r="18" spans="7:8">
      <c r="H18" s="1"/>
    </row>
    <row r="19" spans="7:8">
      <c r="H19" s="1"/>
    </row>
    <row r="26" spans="7:8">
      <c r="G26" t="s">
        <v>49</v>
      </c>
      <c r="H26" s="1">
        <f>SUM(H2:H10)</f>
        <v>1042.69</v>
      </c>
    </row>
  </sheetData>
  <phoneticPr fontId="1" type="noConversion"/>
  <hyperlinks>
    <hyperlink ref="G3" r:id="rId1" display="https://detail.tmall.com/item.htm?ali_refid=a3_420434_1006%3A1109448581%3AN%3AVNgs10FlTdN4Z%2B4S7irb6U6FRRFGvEqT%3A75924f0f37ff10994ff35c16293a62d9&amp;ali_trackid=1_75924f0f37ff10994ff35c16293a62d9&amp;id=40663562450&amp;mi_id=0000zMPzwilQv-0F5Xh72enjjUIa-_Yc_UhuCvV2sLfBJJ4&amp;mm_sceneid=1_0_57814139_0&amp;skuId=3982367321851&amp;spm=a21n57.1.hoverItem.3&amp;utparam=%7B%22aplus_abtest%22%3A%22b70c9df19f29205878fb873c25335014%22%7D&amp;xxc=ad_ztc" xr:uid="{01CA50DA-7826-7043-BC32-7D277D22474F}"/>
    <hyperlink ref="G2" r:id="rId2" xr:uid="{9112F60B-ED8B-B341-A3DC-D4B2D12F211B}"/>
    <hyperlink ref="G6" r:id="rId3" xr:uid="{F3725B8B-FF07-FD49-A71E-7AAE1FB8F3A7}"/>
  </hyperlink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Kuaikuai Jiang</dc:creator>
  <cp:lastModifiedBy>Kuaikuai Jiang</cp:lastModifiedBy>
  <dcterms:created xsi:type="dcterms:W3CDTF">2026-08-10T07:07:24Z</dcterms:created>
  <dcterms:modified xsi:type="dcterms:W3CDTF">2026-08-12T04:46:29Z</dcterms:modified>
</cp:coreProperties>
</file>